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구사항정의서" sheetId="1" state="visible" r:id="rId3"/>
    <sheet name="테스트케이스" sheetId="2" state="visible" r:id="rId4"/>
    <sheet name="추적매트릭스" sheetId="3" state="visible" r:id="rId5"/>
  </sheets>
  <definedNames>
    <definedName function="false" hidden="true" localSheetId="0" name="_xlnm._FilterDatabase" vbProcedure="false">요구사항정의서!$A$4:$G$22</definedName>
    <definedName function="false" hidden="true" localSheetId="1" name="_xlnm._FilterDatabase" vbProcedure="false">테스트케이스!$A$4:$L$20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<sst xmlns="http://schemas.openxmlformats.org/spreadsheetml/2006/main" count="463" uniqueCount="213">
  <si>
    <r>
      <rPr>
        <b val="true"/>
        <sz val="14"/>
        <color rgb="FF2F5597"/>
        <rFont val="Noto Sans CJK SC"/>
        <family val="2"/>
      </rPr>
      <t xml:space="preserve">요구사항 정의서 </t>
    </r>
    <r>
      <rPr>
        <b val="true"/>
        <sz val="14"/>
        <color rgb="FF2F5597"/>
        <rFont val="Arial"/>
        <family val="0"/>
        <charset val="1"/>
      </rPr>
      <t xml:space="preserve">(Requirements Specification)</t>
    </r>
  </si>
  <si>
    <r>
      <rPr>
        <sz val="9"/>
        <color rgb="FF808080"/>
        <rFont val="Noto Sans CJK SC"/>
        <family val="2"/>
      </rPr>
      <t xml:space="preserve">티맵풍 데모 앱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로그인→경로검색</t>
    </r>
    <r>
      <rPr>
        <sz val="9"/>
        <color rgb="FF808080"/>
        <rFont val="Arial"/>
        <family val="0"/>
        <charset val="1"/>
      </rPr>
      <t xml:space="preserve">)/reqres/</t>
    </r>
    <r>
      <rPr>
        <sz val="9"/>
        <color rgb="FF808080"/>
        <rFont val="Noto Sans CJK SC"/>
        <family val="2"/>
      </rPr>
      <t xml:space="preserve">목킹 기준 </t>
    </r>
    <r>
      <rPr>
        <sz val="9"/>
        <color rgb="FF808080"/>
        <rFont val="Arial"/>
        <family val="0"/>
        <charset val="1"/>
      </rPr>
      <t xml:space="preserve">· P1(High)~P3(Low) · ISO/IEC 25010</t>
    </r>
  </si>
  <si>
    <r>
      <rPr>
        <b val="true"/>
        <sz val="10"/>
        <color rgb="FFFFFFFF"/>
        <rFont val="Noto Sans CJK SC"/>
        <family val="2"/>
      </rPr>
      <t xml:space="preserve">요구사항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</si>
  <si>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분류</t>
  </si>
  <si>
    <t xml:space="preserve">요구사항 설명</t>
  </si>
  <si>
    <r>
      <rPr>
        <b val="true"/>
        <sz val="10"/>
        <color rgb="FFFFFFFF"/>
        <rFont val="Noto Sans CJK SC"/>
        <family val="2"/>
      </rPr>
      <t xml:space="preserve">인수 기준 </t>
    </r>
    <r>
      <rPr>
        <b val="true"/>
        <sz val="10"/>
        <color rgb="FFFFFFFF"/>
        <rFont val="Arial"/>
        <family val="0"/>
        <charset val="1"/>
      </rPr>
      <t xml:space="preserve">(Acceptance Criteria)</t>
    </r>
  </si>
  <si>
    <t xml:space="preserve">우선순위</t>
  </si>
  <si>
    <t xml:space="preserve">구분</t>
  </si>
  <si>
    <t xml:space="preserve">품질특성</t>
  </si>
  <si>
    <t xml:space="preserve">REQ-AUTH-01</t>
  </si>
  <si>
    <r>
      <rPr>
        <sz val="10"/>
        <rFont val="Noto Sans CJK SC"/>
        <family val="2"/>
      </rPr>
      <t xml:space="preserve">인증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로그인</t>
    </r>
  </si>
  <si>
    <t xml:space="preserve">유효한 계정으로 로그인하면 경로검색 화면으로 진입해야 한다</t>
  </si>
  <si>
    <t xml:space="preserve">로그인 성공 시 경로검색 화면 노출</t>
  </si>
  <si>
    <t xml:space="preserve">P1</t>
  </si>
  <si>
    <t xml:space="preserve">기능</t>
  </si>
  <si>
    <t xml:space="preserve">기능적합성</t>
  </si>
  <si>
    <t xml:space="preserve">REQ-AUTH-02</t>
  </si>
  <si>
    <t xml:space="preserve">잘못된 자격증명은 로그인이 차단되고 오류가 안내되어야 한다</t>
  </si>
  <si>
    <r>
      <rPr>
        <sz val="10"/>
        <rFont val="Arial"/>
        <family val="0"/>
        <charset val="1"/>
      </rPr>
      <t xml:space="preserve">401 </t>
    </r>
    <r>
      <rPr>
        <sz val="10"/>
        <rFont val="Noto Sans CJK SC"/>
        <family val="2"/>
      </rPr>
      <t xml:space="preserve">응답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올바르지 않습니다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노출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진입 차단</t>
    </r>
  </si>
  <si>
    <t xml:space="preserve">보안</t>
  </si>
  <si>
    <t xml:space="preserve">REQ-AUTH-03</t>
  </si>
  <si>
    <t xml:space="preserve">필수 입력값 누락 시 적절한 안내를 표시해야 한다</t>
  </si>
  <si>
    <r>
      <rPr>
        <sz val="10"/>
        <rFont val="Noto Sans CJK SC"/>
        <family val="2"/>
      </rPr>
      <t xml:space="preserve">아이디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비밀번호 미입력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입력해 주세요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노출</t>
    </r>
  </si>
  <si>
    <t xml:space="preserve">P2</t>
  </si>
  <si>
    <t xml:space="preserve">REQ-API-01</t>
  </si>
  <si>
    <r>
      <rPr>
        <sz val="10"/>
        <rFont val="Arial"/>
        <family val="0"/>
        <charset val="1"/>
      </rPr>
      <t xml:space="preserve">API &gt; </t>
    </r>
    <r>
      <rPr>
        <sz val="10"/>
        <rFont val="Noto Sans CJK SC"/>
        <family val="2"/>
      </rPr>
      <t xml:space="preserve">사용자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조회</t>
    </r>
  </si>
  <si>
    <r>
      <rPr>
        <sz val="10"/>
        <rFont val="Noto Sans CJK SC"/>
        <family val="2"/>
      </rPr>
      <t xml:space="preserve">단일 사용자 조회 시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과 규격 응답을 반환해야 한다</t>
    </r>
  </si>
  <si>
    <r>
      <rPr>
        <sz val="10"/>
        <rFont val="Arial"/>
        <family val="0"/>
        <charset val="1"/>
      </rPr>
      <t xml:space="preserve">200, data.id/email/</t>
    </r>
    <r>
      <rPr>
        <sz val="10"/>
        <rFont val="Noto Sans CJK SC"/>
        <family val="2"/>
      </rPr>
      <t xml:space="preserve">이름 정합</t>
    </r>
  </si>
  <si>
    <t xml:space="preserve">REQ-API-02</t>
  </si>
  <si>
    <r>
      <rPr>
        <sz val="10"/>
        <rFont val="Noto Sans CJK SC"/>
        <family val="2"/>
      </rPr>
      <t xml:space="preserve">존재하지 않는 사용자 조회 시 </t>
    </r>
    <r>
      <rPr>
        <sz val="10"/>
        <rFont val="Arial"/>
        <family val="0"/>
        <charset val="1"/>
      </rPr>
      <t xml:space="preserve">404</t>
    </r>
    <r>
      <rPr>
        <sz val="10"/>
        <rFont val="Noto Sans CJK SC"/>
        <family val="2"/>
      </rPr>
      <t xml:space="preserve">로 처리해야 한다</t>
    </r>
  </si>
  <si>
    <r>
      <rPr>
        <sz val="10"/>
        <rFont val="Noto Sans CJK SC"/>
        <family val="2"/>
      </rPr>
      <t xml:space="preserve">미존재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조회 시 </t>
    </r>
    <r>
      <rPr>
        <sz val="10"/>
        <rFont val="Arial"/>
        <family val="0"/>
        <charset val="1"/>
      </rPr>
      <t xml:space="preserve">404</t>
    </r>
  </si>
  <si>
    <t xml:space="preserve">신뢰성</t>
  </si>
  <si>
    <t xml:space="preserve">REQ-API-03</t>
  </si>
  <si>
    <r>
      <rPr>
        <sz val="10"/>
        <rFont val="Arial"/>
        <family val="0"/>
        <charset val="1"/>
      </rPr>
      <t xml:space="preserve">API &gt; </t>
    </r>
    <r>
      <rPr>
        <sz val="10"/>
        <rFont val="Noto Sans CJK SC"/>
        <family val="2"/>
      </rPr>
      <t xml:space="preserve">사용자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생성</t>
    </r>
  </si>
  <si>
    <r>
      <rPr>
        <sz val="10"/>
        <rFont val="Noto Sans CJK SC"/>
        <family val="2"/>
      </rPr>
      <t xml:space="preserve">사용자 생성 시 </t>
    </r>
    <r>
      <rPr>
        <sz val="10"/>
        <rFont val="Arial"/>
        <family val="0"/>
        <charset val="1"/>
      </rPr>
      <t xml:space="preserve">201</t>
    </r>
    <r>
      <rPr>
        <sz val="10"/>
        <rFont val="Noto Sans CJK SC"/>
        <family val="2"/>
      </rPr>
      <t xml:space="preserve">과 생성 데이터를 반환해야 한다</t>
    </r>
  </si>
  <si>
    <r>
      <rPr>
        <sz val="10"/>
        <rFont val="Arial"/>
        <family val="0"/>
        <charset val="1"/>
      </rPr>
      <t xml:space="preserve">201, </t>
    </r>
    <r>
      <rPr>
        <sz val="10"/>
        <rFont val="Noto Sans CJK SC"/>
        <family val="2"/>
      </rPr>
      <t xml:space="preserve">요청 반영 </t>
    </r>
    <r>
      <rPr>
        <sz val="10"/>
        <rFont val="Arial"/>
        <family val="0"/>
        <charset val="1"/>
      </rPr>
      <t xml:space="preserve">+ id/createdAt </t>
    </r>
    <r>
      <rPr>
        <sz val="10"/>
        <rFont val="Noto Sans CJK SC"/>
        <family val="2"/>
      </rPr>
      <t xml:space="preserve">존재</t>
    </r>
  </si>
  <si>
    <t xml:space="preserve">REQ-API-04</t>
  </si>
  <si>
    <r>
      <rPr>
        <sz val="10"/>
        <rFont val="Arial"/>
        <family val="0"/>
        <charset val="1"/>
      </rPr>
      <t xml:space="preserve">API &gt; </t>
    </r>
    <r>
      <rPr>
        <sz val="10"/>
        <rFont val="Noto Sans CJK SC"/>
        <family val="2"/>
      </rPr>
      <t xml:space="preserve">사용자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목록</t>
    </r>
  </si>
  <si>
    <t xml:space="preserve">사용자 목록 조회 시 페이징 메타를 정확히 반환해야 한다</t>
  </si>
  <si>
    <r>
      <rPr>
        <sz val="10"/>
        <rFont val="Arial"/>
        <family val="0"/>
        <charset val="1"/>
      </rPr>
      <t xml:space="preserve">200, data </t>
    </r>
    <r>
      <rPr>
        <sz val="10"/>
        <rFont val="Noto Sans CJK SC"/>
        <family val="2"/>
      </rPr>
      <t xml:space="preserve">배열 </t>
    </r>
    <r>
      <rPr>
        <sz val="10"/>
        <rFont val="Arial"/>
        <family val="0"/>
        <charset val="1"/>
      </rPr>
      <t xml:space="preserve">+ page/per_page/total </t>
    </r>
    <r>
      <rPr>
        <sz val="10"/>
        <rFont val="Noto Sans CJK SC"/>
        <family val="2"/>
      </rPr>
      <t xml:space="preserve">정합</t>
    </r>
  </si>
  <si>
    <t xml:space="preserve">REQ-ROUTE-01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</si>
  <si>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조회</t>
    </r>
  </si>
  <si>
    <t xml:space="preserve">경로 검색 정상 응답 시 경로 데이터가 규칙에 맞아야 한다</t>
  </si>
  <si>
    <r>
      <rPr>
        <sz val="10"/>
        <rFont val="Arial"/>
        <family val="0"/>
        <charset val="1"/>
      </rPr>
      <t xml:space="preserve">routes </t>
    </r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최단경로 소요시간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대안경로</t>
    </r>
  </si>
  <si>
    <t xml:space="preserve">REQ-ROUTE-03</t>
  </si>
  <si>
    <t xml:space="preserve">경로 검색 결과가 없을 때 빈 목록을 정상 처리해야 한다</t>
  </si>
  <si>
    <r>
      <rPr>
        <sz val="10"/>
        <rFont val="Arial"/>
        <family val="0"/>
        <charset val="1"/>
      </rPr>
      <t xml:space="preserve">routes </t>
    </r>
    <r>
      <rPr>
        <sz val="10"/>
        <rFont val="Noto Sans CJK SC"/>
        <family val="2"/>
      </rPr>
      <t xml:space="preserve">빈 배열</t>
    </r>
    <r>
      <rPr>
        <sz val="10"/>
        <rFont val="Arial"/>
        <family val="0"/>
        <charset val="1"/>
      </rPr>
      <t xml:space="preserve">([]) </t>
    </r>
    <r>
      <rPr>
        <sz val="10"/>
        <rFont val="Noto Sans CJK SC"/>
        <family val="2"/>
      </rPr>
      <t xml:space="preserve">반환 시 배열 타입 유지</t>
    </r>
  </si>
  <si>
    <t xml:space="preserve">P3</t>
  </si>
  <si>
    <t xml:space="preserve">사용성</t>
  </si>
  <si>
    <t xml:space="preserve">REQ-FAV-01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</si>
  <si>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즐겨찾기</t>
    </r>
  </si>
  <si>
    <t xml:space="preserve">즐겨찾기 목록 조회 시 규격에 맞는 항목을 반환해야 한다</t>
  </si>
  <si>
    <r>
      <rPr>
        <sz val="10"/>
        <rFont val="Noto Sans CJK SC"/>
        <family val="2"/>
      </rPr>
      <t xml:space="preserve">각 항목에 </t>
    </r>
    <r>
      <rPr>
        <sz val="10"/>
        <rFont val="Arial"/>
        <family val="0"/>
        <charset val="1"/>
      </rPr>
      <t xml:space="preserve">name/lat/lng </t>
    </r>
    <r>
      <rPr>
        <sz val="10"/>
        <rFont val="Noto Sans CJK SC"/>
        <family val="2"/>
      </rPr>
      <t xml:space="preserve">존재</t>
    </r>
  </si>
  <si>
    <t xml:space="preserve">REQ-FAV-02</t>
  </si>
  <si>
    <r>
      <rPr>
        <sz val="10"/>
        <rFont val="Noto Sans CJK SC"/>
        <family val="2"/>
      </rPr>
      <t xml:space="preserve">즐겨찾기 추가 시 </t>
    </r>
    <r>
      <rPr>
        <sz val="10"/>
        <rFont val="Arial"/>
        <family val="0"/>
        <charset val="1"/>
      </rPr>
      <t xml:space="preserve">201</t>
    </r>
    <r>
      <rPr>
        <sz val="10"/>
        <rFont val="Noto Sans CJK SC"/>
        <family val="2"/>
      </rPr>
      <t xml:space="preserve">과 생성 결과를 반환해야 한다</t>
    </r>
  </si>
  <si>
    <r>
      <rPr>
        <sz val="10"/>
        <rFont val="Arial"/>
        <family val="0"/>
        <charset val="1"/>
      </rPr>
      <t xml:space="preserve">201, 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(name/</t>
    </r>
    <r>
      <rPr>
        <sz val="10"/>
        <rFont val="Noto Sans CJK SC"/>
        <family val="2"/>
      </rPr>
      <t xml:space="preserve">좌표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반영 </t>
    </r>
    <r>
      <rPr>
        <sz val="10"/>
        <rFont val="Arial"/>
        <family val="0"/>
        <charset val="1"/>
      </rPr>
      <t xml:space="preserve">+ id </t>
    </r>
    <r>
      <rPr>
        <sz val="10"/>
        <rFont val="Noto Sans CJK SC"/>
        <family val="2"/>
      </rPr>
      <t xml:space="preserve">발급</t>
    </r>
  </si>
  <si>
    <t xml:space="preserve">REQ-PLACE-01</t>
  </si>
  <si>
    <r>
      <rPr>
        <sz val="10"/>
        <rFont val="Noto Sans CJK SC"/>
        <family val="2"/>
      </rPr>
      <t xml:space="preserve">장소추천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로컬맛집</t>
    </r>
  </si>
  <si>
    <t xml:space="preserve">장소 추천 목록은 평점 내림차순으로 정렬되어야 한다</t>
  </si>
  <si>
    <r>
      <rPr>
        <sz val="10"/>
        <rFont val="Arial"/>
        <family val="0"/>
        <charset val="1"/>
      </rPr>
      <t xml:space="preserve">places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rating </t>
    </r>
    <r>
      <rPr>
        <sz val="10"/>
        <rFont val="Noto Sans CJK SC"/>
        <family val="2"/>
      </rPr>
      <t xml:space="preserve">내림차순 정합</t>
    </r>
  </si>
  <si>
    <t xml:space="preserve">REQ-ROUTE-UI-01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</si>
  <si>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결과화면</t>
    </r>
  </si>
  <si>
    <t xml:space="preserve">경로 검색 성공 시 결과 카드가 화면에 정확히 렌더링돼야 한다</t>
  </si>
  <si>
    <r>
      <rPr>
        <sz val="10"/>
        <rFont val="Noto Sans CJK SC"/>
        <family val="2"/>
      </rPr>
      <t xml:space="preserve">검색 시 경로 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소요시간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노출</t>
    </r>
  </si>
  <si>
    <t xml:space="preserve">REQ-ROUTE-UI-02</t>
  </si>
  <si>
    <t xml:space="preserve">경로가 없을 때 사용자에게 안내 메시지를 표시해야 한다</t>
  </si>
  <si>
    <r>
      <rPr>
        <sz val="10"/>
        <rFont val="Noto Sans CJK SC"/>
        <family val="2"/>
      </rPr>
      <t xml:space="preserve">빈 결과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추천 경로가 없습니다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안내</t>
    </r>
  </si>
  <si>
    <t xml:space="preserve">REQ-ROUTE-UI-03</t>
  </si>
  <si>
    <t xml:space="preserve">조회 오류 시 사용자에게 오류 메시지를 표시해야 한다</t>
  </si>
  <si>
    <r>
      <rPr>
        <sz val="10"/>
        <rFont val="Arial"/>
        <family val="0"/>
        <charset val="1"/>
      </rPr>
      <t xml:space="preserve">5xx </t>
    </r>
    <r>
      <rPr>
        <sz val="10"/>
        <rFont val="Noto Sans CJK SC"/>
        <family val="2"/>
      </rPr>
      <t xml:space="preserve">응답 시 오류 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카드 미노출</t>
    </r>
  </si>
  <si>
    <t xml:space="preserve">REQ-ROUTE-02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</si>
  <si>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예외</t>
    </r>
  </si>
  <si>
    <r>
      <rPr>
        <sz val="10"/>
        <rFont val="Noto Sans CJK SC"/>
        <family val="2"/>
      </rPr>
      <t xml:space="preserve">경로 검색 장애</t>
    </r>
    <r>
      <rPr>
        <sz val="10"/>
        <rFont val="Arial"/>
        <family val="0"/>
        <charset val="1"/>
      </rPr>
      <t xml:space="preserve">(5xx) </t>
    </r>
    <r>
      <rPr>
        <sz val="10"/>
        <rFont val="Noto Sans CJK SC"/>
        <family val="2"/>
      </rPr>
      <t xml:space="preserve">시 클라이언트가 오류를 인지해야 한다</t>
    </r>
  </si>
  <si>
    <r>
      <rPr>
        <sz val="10"/>
        <rFont val="Arial"/>
        <family val="0"/>
        <charset val="1"/>
      </rPr>
      <t xml:space="preserve">503 </t>
    </r>
    <r>
      <rPr>
        <sz val="10"/>
        <rFont val="Noto Sans CJK SC"/>
        <family val="2"/>
      </rPr>
      <t xml:space="preserve">응답 시 </t>
    </r>
    <r>
      <rPr>
        <sz val="10"/>
        <rFont val="Arial"/>
        <family val="0"/>
        <charset val="1"/>
      </rPr>
      <t xml:space="preserve">503 </t>
    </r>
    <r>
      <rPr>
        <sz val="10"/>
        <rFont val="Noto Sans CJK SC"/>
        <family val="2"/>
      </rPr>
      <t xml:space="preserve">상태 정상 수신</t>
    </r>
  </si>
  <si>
    <t xml:space="preserve">비기능</t>
  </si>
  <si>
    <t xml:space="preserve">REQ-PERF-01</t>
  </si>
  <si>
    <r>
      <rPr>
        <sz val="10"/>
        <rFont val="Arial"/>
        <family val="0"/>
        <charset val="1"/>
      </rPr>
      <t xml:space="preserve">API &gt; </t>
    </r>
    <r>
      <rPr>
        <sz val="10"/>
        <rFont val="Noto Sans CJK SC"/>
        <family val="2"/>
      </rPr>
      <t xml:space="preserve">성능</t>
    </r>
  </si>
  <si>
    <r>
      <rPr>
        <sz val="10"/>
        <rFont val="Noto Sans CJK SC"/>
        <family val="2"/>
      </rPr>
      <t xml:space="preserve">사용자 조회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응답시간은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이내여야 한다</t>
    </r>
  </si>
  <si>
    <r>
      <rPr>
        <sz val="10"/>
        <rFont val="Noto Sans CJK SC"/>
        <family val="2"/>
      </rPr>
      <t xml:space="preserve">응답시간 </t>
    </r>
    <r>
      <rPr>
        <sz val="10"/>
        <rFont val="Arial"/>
        <family val="0"/>
        <charset val="1"/>
      </rPr>
      <t xml:space="preserve">&lt; 2000ms</t>
    </r>
  </si>
  <si>
    <t xml:space="preserve">성능효율성</t>
  </si>
  <si>
    <t xml:space="preserve">REQ-COMPAT-01</t>
  </si>
  <si>
    <r>
      <rPr>
        <sz val="10"/>
        <rFont val="Noto Sans CJK SC"/>
        <family val="2"/>
      </rPr>
      <t xml:space="preserve">공통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호환성</t>
    </r>
  </si>
  <si>
    <r>
      <rPr>
        <sz val="10"/>
        <rFont val="Noto Sans CJK SC"/>
        <family val="2"/>
      </rPr>
      <t xml:space="preserve">주요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시나리오는 데스크톱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모바일 뷰포트에서 동일 동작해야 한다</t>
    </r>
  </si>
  <si>
    <r>
      <rPr>
        <sz val="10"/>
        <rFont val="Arial"/>
        <family val="0"/>
        <charset val="1"/>
      </rPr>
      <t xml:space="preserve">Desktop Chrome·Pixel 7 </t>
    </r>
    <r>
      <rPr>
        <sz val="10"/>
        <rFont val="Noto Sans CJK SC"/>
        <family val="2"/>
      </rPr>
      <t xml:space="preserve">두 프로젝트 통과</t>
    </r>
  </si>
  <si>
    <t xml:space="preserve">호환성</t>
  </si>
  <si>
    <r>
      <rPr>
        <b val="true"/>
        <sz val="14"/>
        <color rgb="FF2F5597"/>
        <rFont val="Noto Sans CJK SC"/>
        <family val="2"/>
      </rPr>
      <t xml:space="preserve">테스트 케이스 명세 </t>
    </r>
    <r>
      <rPr>
        <b val="true"/>
        <sz val="14"/>
        <color rgb="FF2F5597"/>
        <rFont val="Arial"/>
        <family val="0"/>
        <charset val="1"/>
      </rPr>
      <t xml:space="preserve">(Test Case Specification)</t>
    </r>
  </si>
  <si>
    <r>
      <rPr>
        <sz val="9"/>
        <color rgb="FF808080"/>
        <rFont val="Noto Sans CJK SC"/>
        <family val="2"/>
      </rPr>
      <t xml:space="preserve">총 </t>
    </r>
    <r>
      <rPr>
        <sz val="9"/>
        <color rgb="FF808080"/>
        <rFont val="Arial"/>
        <family val="0"/>
        <charset val="1"/>
      </rPr>
      <t xml:space="preserve">16</t>
    </r>
    <r>
      <rPr>
        <sz val="9"/>
        <color rgb="FF808080"/>
        <rFont val="Noto Sans CJK SC"/>
        <family val="2"/>
      </rPr>
      <t xml:space="preserve">건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자동화 </t>
    </r>
    <r>
      <rPr>
        <sz val="9"/>
        <color rgb="FF808080"/>
        <rFont val="Arial"/>
        <family val="0"/>
        <charset val="1"/>
      </rPr>
      <t xml:space="preserve">100% · Pass 100% · </t>
    </r>
    <r>
      <rPr>
        <sz val="9"/>
        <color rgb="FF808080"/>
        <rFont val="Noto Sans CJK SC"/>
        <family val="2"/>
      </rPr>
      <t xml:space="preserve">판정 열은 </t>
    </r>
    <r>
      <rPr>
        <sz val="9"/>
        <color rgb="FF808080"/>
        <rFont val="Arial"/>
        <family val="0"/>
        <charset val="1"/>
      </rPr>
      <t xml:space="preserve">Pass/Fail </t>
    </r>
    <r>
      <rPr>
        <sz val="9"/>
        <color rgb="FF808080"/>
        <rFont val="Noto Sans CJK SC"/>
        <family val="2"/>
      </rPr>
      <t xml:space="preserve">드롭다운</t>
    </r>
  </si>
  <si>
    <t xml:space="preserve">TC ID</t>
  </si>
  <si>
    <t xml:space="preserve">Summary</t>
  </si>
  <si>
    <t xml:space="preserve">사전조건</t>
  </si>
  <si>
    <r>
      <rPr>
        <b val="true"/>
        <sz val="10"/>
        <color rgb="FFFFFFFF"/>
        <rFont val="Arial"/>
        <family val="0"/>
        <charset val="1"/>
      </rPr>
      <t xml:space="preserve">Step (</t>
    </r>
    <r>
      <rPr>
        <b val="true"/>
        <sz val="10"/>
        <color rgb="FFFFFFFF"/>
        <rFont val="Noto Sans CJK SC"/>
        <family val="2"/>
      </rPr>
      <t xml:space="preserve">시나리오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</si>
  <si>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기대결과</t>
  </si>
  <si>
    <t xml:space="preserve">판정</t>
  </si>
  <si>
    <t xml:space="preserve">자동화 도구</t>
  </si>
  <si>
    <t xml:space="preserve">TC-UI-001</t>
  </si>
  <si>
    <r>
      <rPr>
        <sz val="10"/>
        <rFont val="Noto Sans CJK SC"/>
        <family val="2"/>
      </rPr>
      <t xml:space="preserve">인증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정상</t>
    </r>
  </si>
  <si>
    <t xml:space="preserve">로그인 성공 진입</t>
  </si>
  <si>
    <t xml:space="preserve">앱 로그인 화면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</si>
  <si>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아이디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비밀번호 입력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로그인 클릭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API 200 </t>
    </r>
    <r>
      <rPr>
        <sz val="10"/>
        <rFont val="Noto Sans CJK SC"/>
        <family val="2"/>
      </rPr>
      <t xml:space="preserve">목킹</t>
    </r>
  </si>
  <si>
    <t xml:space="preserve">경로검색 화면으로 진입</t>
  </si>
  <si>
    <t xml:space="preserve">Pass</t>
  </si>
  <si>
    <t xml:space="preserve">REQ-AUTH-01, REQ-COMPAT-01</t>
  </si>
  <si>
    <t xml:space="preserve">Playwright</t>
  </si>
  <si>
    <t xml:space="preserve">TC-UI-002</t>
  </si>
  <si>
    <r>
      <rPr>
        <sz val="10"/>
        <rFont val="Noto Sans CJK SC"/>
        <family val="2"/>
      </rPr>
      <t xml:space="preserve">인증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차단</t>
    </r>
  </si>
  <si>
    <t xml:space="preserve">잘못된 자격증명 차단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</si>
  <si>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잘못된 계정 입력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로그인 클릭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API 401 </t>
    </r>
    <r>
      <rPr>
        <sz val="10"/>
        <rFont val="Noto Sans CJK SC"/>
        <family val="2"/>
      </rPr>
      <t xml:space="preserve">목킹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</si>
  <si>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올바르지 않습니다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진입 차단</t>
    </r>
  </si>
  <si>
    <t xml:space="preserve">REQ-AUTH-02, REQ-COMPAT-01</t>
  </si>
  <si>
    <t xml:space="preserve">TC-UI-003</t>
  </si>
  <si>
    <r>
      <rPr>
        <sz val="10"/>
        <rFont val="Noto Sans CJK SC"/>
        <family val="2"/>
      </rPr>
      <t xml:space="preserve">인증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입력검증</t>
    </r>
  </si>
  <si>
    <t xml:space="preserve">필수값 미입력 검증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</si>
  <si>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아이디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비밀번호 공란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로그인 클릭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</si>
  <si>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입력해 주세요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진입 차단</t>
    </r>
  </si>
  <si>
    <t xml:space="preserve">REQ-AUTH-03, REQ-COMPAT-01</t>
  </si>
  <si>
    <t xml:space="preserve">TC-UI-004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</si>
  <si>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결과화면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정상</t>
    </r>
  </si>
  <si>
    <t xml:space="preserve">경로 결과 화면 렌더링</t>
  </si>
  <si>
    <t xml:space="preserve">로그인 완료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</si>
  <si>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출발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도착 입력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검색 클릭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API 200 </t>
    </r>
    <r>
      <rPr>
        <sz val="10"/>
        <rFont val="Noto Sans CJK SC"/>
        <family val="2"/>
      </rPr>
      <t xml:space="preserve">목킹</t>
    </r>
  </si>
  <si>
    <r>
      <rPr>
        <sz val="10"/>
        <rFont val="Noto Sans CJK SC"/>
        <family val="2"/>
      </rPr>
      <t xml:space="preserve">결과 카드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렌더링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최단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분 표시</t>
    </r>
  </si>
  <si>
    <t xml:space="preserve">REQ-ROUTE-UI-01, REQ-COMPAT-01</t>
  </si>
  <si>
    <t xml:space="preserve">Playwright + Mock</t>
  </si>
  <si>
    <t xml:space="preserve">TC-UI-005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</si>
  <si>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결과화면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빈결과</t>
    </r>
  </si>
  <si>
    <t xml:space="preserve">경로 없음 화면 안내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</si>
  <si>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검색 클릭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빈 </t>
    </r>
    <r>
      <rPr>
        <sz val="10"/>
        <rFont val="Arial"/>
        <family val="0"/>
        <charset val="1"/>
      </rPr>
      <t xml:space="preserve">routes </t>
    </r>
    <r>
      <rPr>
        <sz val="10"/>
        <rFont val="Noto Sans CJK SC"/>
        <family val="2"/>
      </rPr>
      <t xml:space="preserve">목킹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</si>
  <si>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추천 경로가 없습니다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</si>
  <si>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REQ-ROUTE-UI-02, REQ-COMPAT-01</t>
  </si>
  <si>
    <t xml:space="preserve">TC-UI-006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</si>
  <si>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결과화면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오류</t>
    </r>
  </si>
  <si>
    <t xml:space="preserve">조회 오류 화면 안내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</si>
  <si>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검색 클릭
</t>
    </r>
    <r>
      <rPr>
        <sz val="10"/>
        <rFont val="Arial"/>
        <family val="0"/>
        <charset val="1"/>
      </rPr>
      <t xml:space="preserve">2. 503 </t>
    </r>
    <r>
      <rPr>
        <sz val="10"/>
        <rFont val="Noto Sans CJK SC"/>
        <family val="2"/>
      </rPr>
      <t xml:space="preserve">목킹</t>
    </r>
  </si>
  <si>
    <r>
      <rPr>
        <sz val="10"/>
        <rFont val="Noto Sans CJK SC"/>
        <family val="2"/>
      </rPr>
      <t xml:space="preserve">오류 안내 메시지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</si>
  <si>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REQ-ROUTE-UI-03, REQ-COMPAT-01</t>
  </si>
  <si>
    <t xml:space="preserve">TC-API-001</t>
  </si>
  <si>
    <t xml:space="preserve">단일 사용자 조회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</si>
  <si>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접근 가능</t>
    </r>
  </si>
  <si>
    <r>
      <rPr>
        <sz val="10"/>
        <rFont val="Arial"/>
        <family val="0"/>
        <charset val="1"/>
      </rPr>
      <t xml:space="preserve">1. GET /users/2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</si>
  <si>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반환</t>
    </r>
    <r>
      <rPr>
        <sz val="10"/>
        <rFont val="Arial"/>
        <family val="0"/>
        <charset val="1"/>
      </rPr>
      <t xml:space="preserve">, data </t>
    </r>
    <r>
      <rPr>
        <sz val="10"/>
        <rFont val="Noto Sans CJK SC"/>
        <family val="2"/>
      </rPr>
      <t xml:space="preserve">필드 정합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응답시간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이내</t>
    </r>
  </si>
  <si>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비기능</t>
    </r>
  </si>
  <si>
    <r>
      <rPr>
        <sz val="10"/>
        <rFont val="Noto Sans CJK SC"/>
        <family val="2"/>
      </rPr>
      <t xml:space="preserve">기능적합성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성능효율성</t>
    </r>
  </si>
  <si>
    <t xml:space="preserve">REQ-API-01, REQ-PERF-01</t>
  </si>
  <si>
    <t xml:space="preserve">Playwright / Postman</t>
  </si>
  <si>
    <t xml:space="preserve">TC-API-002</t>
  </si>
  <si>
    <t xml:space="preserve">미존재 사용자 처리</t>
  </si>
  <si>
    <r>
      <rPr>
        <sz val="10"/>
        <rFont val="Arial"/>
        <family val="0"/>
        <charset val="1"/>
      </rPr>
      <t xml:space="preserve">1. GET /users/23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</si>
  <si>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404 </t>
    </r>
    <r>
      <rPr>
        <sz val="10"/>
        <rFont val="Noto Sans CJK SC"/>
        <family val="2"/>
      </rPr>
      <t xml:space="preserve">반환</t>
    </r>
  </si>
  <si>
    <t xml:space="preserve">TC-API-003</t>
  </si>
  <si>
    <t xml:space="preserve">사용자 생성</t>
  </si>
  <si>
    <r>
      <rPr>
        <sz val="10"/>
        <rFont val="Arial"/>
        <family val="0"/>
        <charset val="1"/>
      </rPr>
      <t xml:space="preserve">1. POST /users (name, job)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</si>
  <si>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201 </t>
    </r>
    <r>
      <rPr>
        <sz val="10"/>
        <rFont val="Noto Sans CJK SC"/>
        <family val="2"/>
      </rPr>
      <t xml:space="preserve">반환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요청 반영 </t>
    </r>
    <r>
      <rPr>
        <sz val="10"/>
        <rFont val="Arial"/>
        <family val="0"/>
        <charset val="1"/>
      </rPr>
      <t xml:space="preserve">+ id/createdAt </t>
    </r>
    <r>
      <rPr>
        <sz val="10"/>
        <rFont val="Noto Sans CJK SC"/>
        <family val="2"/>
      </rPr>
      <t xml:space="preserve">존재</t>
    </r>
  </si>
  <si>
    <t xml:space="preserve">TC-API-004</t>
  </si>
  <si>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페이징 조회</t>
    </r>
  </si>
  <si>
    <r>
      <rPr>
        <sz val="10"/>
        <rFont val="Arial"/>
        <family val="0"/>
        <charset val="1"/>
      </rPr>
      <t xml:space="preserve">1. GET /users?page=1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</si>
  <si>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반환</t>
    </r>
    <r>
      <rPr>
        <sz val="10"/>
        <rFont val="Arial"/>
        <family val="0"/>
        <charset val="1"/>
      </rPr>
      <t xml:space="preserve">, data </t>
    </r>
    <r>
      <rPr>
        <sz val="10"/>
        <rFont val="Noto Sans CJK SC"/>
        <family val="2"/>
      </rPr>
      <t xml:space="preserve">배열 </t>
    </r>
    <r>
      <rPr>
        <sz val="10"/>
        <rFont val="Arial"/>
        <family val="0"/>
        <charset val="1"/>
      </rPr>
      <t xml:space="preserve">+ page/per_page/total </t>
    </r>
    <r>
      <rPr>
        <sz val="10"/>
        <rFont val="Noto Sans CJK SC"/>
        <family val="2"/>
      </rPr>
      <t xml:space="preserve">정합</t>
    </r>
  </si>
  <si>
    <t xml:space="preserve">Postman</t>
  </si>
  <si>
    <t xml:space="preserve">TC-MOCK-001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</si>
  <si>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조회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정상</t>
    </r>
  </si>
  <si>
    <t xml:space="preserve">경로 검색 정상 응답 목킹</t>
  </si>
  <si>
    <t xml:space="preserve">목킹 라우트 등록</t>
  </si>
  <si>
    <r>
      <rPr>
        <sz val="10"/>
        <rFont val="Arial"/>
        <family val="0"/>
        <charset val="1"/>
      </rPr>
      <t xml:space="preserve">1. /api/route-search 200 </t>
    </r>
    <r>
      <rPr>
        <sz val="10"/>
        <rFont val="Noto Sans CJK SC"/>
        <family val="2"/>
      </rPr>
      <t xml:space="preserve">목킹
</t>
    </r>
    <r>
      <rPr>
        <sz val="10"/>
        <rFont val="Arial"/>
        <family val="0"/>
        <charset val="1"/>
      </rPr>
      <t xml:space="preserve">2. fetch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</si>
  <si>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routes 2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최단경로 소요시간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대안경로</t>
    </r>
  </si>
  <si>
    <t xml:space="preserve">Playwright(page.route)</t>
  </si>
  <si>
    <t xml:space="preserve">TC-MOCK-002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</si>
  <si>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예외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오류</t>
    </r>
  </si>
  <si>
    <t xml:space="preserve">경로 검색 오류 응답 처리</t>
  </si>
  <si>
    <r>
      <rPr>
        <sz val="10"/>
        <rFont val="Arial"/>
        <family val="0"/>
        <charset val="1"/>
      </rPr>
      <t xml:space="preserve">1. /api/route-search 503 </t>
    </r>
    <r>
      <rPr>
        <sz val="10"/>
        <rFont val="Noto Sans CJK SC"/>
        <family val="2"/>
      </rPr>
      <t xml:space="preserve">목킹
</t>
    </r>
    <r>
      <rPr>
        <sz val="10"/>
        <rFont val="Arial"/>
        <family val="0"/>
        <charset val="1"/>
      </rPr>
      <t xml:space="preserve">2. fetch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</si>
  <si>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503 </t>
    </r>
    <r>
      <rPr>
        <sz val="10"/>
        <rFont val="Noto Sans CJK SC"/>
        <family val="2"/>
      </rPr>
      <t xml:space="preserve">상태 정상 수신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예외 인지</t>
    </r>
    <r>
      <rPr>
        <sz val="10"/>
        <rFont val="Arial"/>
        <family val="0"/>
        <charset val="1"/>
      </rPr>
      <t xml:space="preserve">)</t>
    </r>
  </si>
  <si>
    <t xml:space="preserve">TC-MOCK-003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</si>
  <si>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즐겨찾기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조회</t>
    </r>
  </si>
  <si>
    <t xml:space="preserve">즐겨찾기 목록 조회</t>
  </si>
  <si>
    <r>
      <rPr>
        <sz val="10"/>
        <rFont val="Arial"/>
        <family val="0"/>
        <charset val="1"/>
      </rPr>
      <t xml:space="preserve">1. GET /api/favorites 200 </t>
    </r>
    <r>
      <rPr>
        <sz val="10"/>
        <rFont val="Noto Sans CJK SC"/>
        <family val="2"/>
      </rPr>
      <t xml:space="preserve">목킹
</t>
    </r>
    <r>
      <rPr>
        <sz val="10"/>
        <rFont val="Arial"/>
        <family val="0"/>
        <charset val="1"/>
      </rPr>
      <t xml:space="preserve">2. fetch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</si>
  <si>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items </t>
    </r>
    <r>
      <rPr>
        <sz val="10"/>
        <rFont val="Noto Sans CJK SC"/>
        <family val="2"/>
      </rPr>
      <t xml:space="preserve">각 항목에 </t>
    </r>
    <r>
      <rPr>
        <sz val="10"/>
        <rFont val="Arial"/>
        <family val="0"/>
        <charset val="1"/>
      </rPr>
      <t xml:space="preserve">name/lat/lng </t>
    </r>
    <r>
      <rPr>
        <sz val="10"/>
        <rFont val="Noto Sans CJK SC"/>
        <family val="2"/>
      </rPr>
      <t xml:space="preserve">존재</t>
    </r>
  </si>
  <si>
    <t xml:space="preserve">TC-MOCK-004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</si>
  <si>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즐겨찾기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추가</t>
    </r>
  </si>
  <si>
    <t xml:space="preserve">즐겨찾기 추가</t>
  </si>
  <si>
    <r>
      <rPr>
        <sz val="10"/>
        <rFont val="Arial"/>
        <family val="0"/>
        <charset val="1"/>
      </rPr>
      <t xml:space="preserve">1. POST /api/favorites 201 </t>
    </r>
    <r>
      <rPr>
        <sz val="10"/>
        <rFont val="Noto Sans CJK SC"/>
        <family val="2"/>
      </rPr>
      <t xml:space="preserve">목킹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좌표 포함 요청</t>
    </r>
  </si>
  <si>
    <r>
      <rPr>
        <sz val="10"/>
        <rFont val="Arial"/>
        <family val="0"/>
        <charset val="1"/>
      </rPr>
      <t xml:space="preserve">201 </t>
    </r>
    <r>
      <rPr>
        <sz val="10"/>
        <rFont val="Noto Sans CJK SC"/>
        <family val="2"/>
      </rPr>
      <t xml:space="preserve">반환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(name/</t>
    </r>
    <r>
      <rPr>
        <sz val="10"/>
        <rFont val="Noto Sans CJK SC"/>
        <family val="2"/>
      </rPr>
      <t xml:space="preserve">좌표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반영 </t>
    </r>
    <r>
      <rPr>
        <sz val="10"/>
        <rFont val="Arial"/>
        <family val="0"/>
        <charset val="1"/>
      </rPr>
      <t xml:space="preserve">+ id </t>
    </r>
    <r>
      <rPr>
        <sz val="10"/>
        <rFont val="Noto Sans CJK SC"/>
        <family val="2"/>
      </rPr>
      <t xml:space="preserve">발급</t>
    </r>
  </si>
  <si>
    <t xml:space="preserve">TC-MOCK-005</t>
  </si>
  <si>
    <r>
      <rPr>
        <sz val="10"/>
        <rFont val="Noto Sans CJK SC"/>
        <family val="2"/>
      </rPr>
      <t xml:space="preserve">장소추천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로컬맛집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조회</t>
    </r>
  </si>
  <si>
    <t xml:space="preserve">장소추천 평점 정렬</t>
  </si>
  <si>
    <r>
      <rPr>
        <sz val="10"/>
        <rFont val="Arial"/>
        <family val="0"/>
        <charset val="1"/>
      </rPr>
      <t xml:space="preserve">1. GET /api/places/recommend 200 </t>
    </r>
    <r>
      <rPr>
        <sz val="10"/>
        <rFont val="Noto Sans CJK SC"/>
        <family val="2"/>
      </rPr>
      <t xml:space="preserve">목킹
</t>
    </r>
    <r>
      <rPr>
        <sz val="10"/>
        <rFont val="Arial"/>
        <family val="0"/>
        <charset val="1"/>
      </rPr>
      <t xml:space="preserve">2. fetch </t>
    </r>
    <r>
      <rPr>
        <sz val="10"/>
        <rFont val="Noto Sans CJK SC"/>
        <family val="2"/>
      </rPr>
      <t xml:space="preserve">호출</t>
    </r>
  </si>
  <si>
    <t xml:space="preserve">TC-MOCK-006</t>
  </si>
  <si>
    <r>
      <rPr>
        <sz val="10"/>
        <rFont val="Noto Sans CJK SC"/>
        <family val="2"/>
      </rPr>
      <t xml:space="preserve">경로검색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조회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빈결과</t>
    </r>
  </si>
  <si>
    <r>
      <rPr>
        <sz val="10"/>
        <rFont val="Noto Sans CJK SC"/>
        <family val="2"/>
      </rPr>
      <t xml:space="preserve">경로 없음 처리</t>
    </r>
    <r>
      <rPr>
        <sz val="10"/>
        <rFont val="Arial"/>
        <family val="0"/>
        <charset val="1"/>
      </rPr>
      <t xml:space="preserve">(API)</t>
    </r>
  </si>
  <si>
    <r>
      <rPr>
        <sz val="10"/>
        <rFont val="Arial"/>
        <family val="0"/>
        <charset val="1"/>
      </rPr>
      <t xml:space="preserve">1. /api/route-search </t>
    </r>
    <r>
      <rPr>
        <sz val="10"/>
        <rFont val="Noto Sans CJK SC"/>
        <family val="2"/>
      </rPr>
      <t xml:space="preserve">빈 </t>
    </r>
    <r>
      <rPr>
        <sz val="10"/>
        <rFont val="Arial"/>
        <family val="0"/>
        <charset val="1"/>
      </rPr>
      <t xml:space="preserve">routes </t>
    </r>
    <r>
      <rPr>
        <sz val="10"/>
        <rFont val="Noto Sans CJK SC"/>
        <family val="2"/>
      </rPr>
      <t xml:space="preserve">목킹
</t>
    </r>
    <r>
      <rPr>
        <sz val="10"/>
        <rFont val="Arial"/>
        <family val="0"/>
        <charset val="1"/>
      </rPr>
      <t xml:space="preserve">2. fetch </t>
    </r>
    <r>
      <rPr>
        <sz val="10"/>
        <rFont val="Noto Sans CJK SC"/>
        <family val="2"/>
      </rPr>
      <t xml:space="preserve">호출</t>
    </r>
  </si>
  <si>
    <r>
      <rPr>
        <sz val="10"/>
        <rFont val="Arial"/>
        <family val="0"/>
        <charset val="1"/>
      </rPr>
      <t xml:space="preserve">routes </t>
    </r>
    <r>
      <rPr>
        <sz val="10"/>
        <rFont val="Noto Sans CJK SC"/>
        <family val="2"/>
      </rPr>
      <t xml:space="preserve">빈 배열</t>
    </r>
    <r>
      <rPr>
        <sz val="10"/>
        <rFont val="Arial"/>
        <family val="0"/>
        <charset val="1"/>
      </rPr>
      <t xml:space="preserve">([]) </t>
    </r>
    <r>
      <rPr>
        <sz val="10"/>
        <rFont val="Noto Sans CJK SC"/>
        <family val="2"/>
      </rPr>
      <t xml:space="preserve">반환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배열 타입 유지</t>
    </r>
  </si>
  <si>
    <r>
      <rPr>
        <b val="true"/>
        <sz val="14"/>
        <color rgb="FF2F5597"/>
        <rFont val="Noto Sans CJK SC"/>
        <family val="2"/>
      </rPr>
      <t xml:space="preserve">요구사항 추적 매트릭스 </t>
    </r>
    <r>
      <rPr>
        <b val="true"/>
        <sz val="14"/>
        <color rgb="FF2F5597"/>
        <rFont val="Arial"/>
        <family val="0"/>
        <charset val="1"/>
      </rPr>
      <t xml:space="preserve">(RTM)</t>
    </r>
  </si>
  <si>
    <t xml:space="preserve">요구사항 ↔ 테스트 케이스 매핑 및 커버리지</t>
  </si>
  <si>
    <r>
      <rPr>
        <b val="true"/>
        <sz val="10"/>
        <color rgb="FFFFFFFF"/>
        <rFont val="Noto Sans CJK SC"/>
        <family val="2"/>
      </rPr>
      <t xml:space="preserve">대응 </t>
    </r>
    <r>
      <rPr>
        <b val="true"/>
        <sz val="10"/>
        <color rgb="FFFFFFFF"/>
        <rFont val="Arial"/>
        <family val="0"/>
        <charset val="1"/>
      </rPr>
      <t xml:space="preserve">TC</t>
    </r>
  </si>
  <si>
    <r>
      <rPr>
        <b val="true"/>
        <sz val="10"/>
        <color rgb="FFFFFFFF"/>
        <rFont val="Noto Sans CJK SC"/>
        <family val="2"/>
      </rPr>
      <t xml:space="preserve">커버</t>
    </r>
    <r>
      <rPr>
        <b val="true"/>
        <sz val="10"/>
        <color rgb="FFFFFFFF"/>
        <rFont val="Arial"/>
        <family val="0"/>
        <charset val="1"/>
      </rPr>
      <t xml:space="preserve">(Y)</t>
    </r>
  </si>
  <si>
    <t xml:space="preserve">유효 계정 로그인 성공</t>
  </si>
  <si>
    <t xml:space="preserve">Y</t>
  </si>
  <si>
    <t xml:space="preserve">필수 입력값 검증</t>
  </si>
  <si>
    <r>
      <rPr>
        <sz val="10"/>
        <rFont val="Noto Sans CJK SC"/>
        <family val="2"/>
      </rPr>
      <t xml:space="preserve">미존재 사용자 </t>
    </r>
    <r>
      <rPr>
        <sz val="10"/>
        <rFont val="Arial"/>
        <family val="0"/>
        <charset val="1"/>
      </rPr>
      <t xml:space="preserve">404</t>
    </r>
  </si>
  <si>
    <r>
      <rPr>
        <sz val="10"/>
        <rFont val="Noto Sans CJK SC"/>
        <family val="2"/>
      </rPr>
      <t xml:space="preserve">사용자 목록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페이징</t>
    </r>
  </si>
  <si>
    <t xml:space="preserve">경로 검색 정상 응답</t>
  </si>
  <si>
    <r>
      <rPr>
        <sz val="10"/>
        <rFont val="Noto Sans CJK SC"/>
        <family val="2"/>
      </rPr>
      <t xml:space="preserve">경로 검색 빈 결과 처리</t>
    </r>
    <r>
      <rPr>
        <sz val="10"/>
        <rFont val="Arial"/>
        <family val="0"/>
        <charset val="1"/>
      </rPr>
      <t xml:space="preserve">(API)</t>
    </r>
  </si>
  <si>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</si>
  <si>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경로 검색 오류</t>
    </r>
    <r>
      <rPr>
        <sz val="10"/>
        <rFont val="Arial"/>
        <family val="0"/>
        <charset val="1"/>
      </rPr>
      <t xml:space="preserve">(5xx) </t>
    </r>
    <r>
      <rPr>
        <sz val="10"/>
        <rFont val="Noto Sans CJK SC"/>
        <family val="2"/>
      </rPr>
      <t xml:space="preserve">처리</t>
    </r>
  </si>
  <si>
    <r>
      <rPr>
        <sz val="10"/>
        <rFont val="Noto Sans CJK SC"/>
        <family val="2"/>
      </rPr>
      <t xml:space="preserve">비기능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신뢰성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</si>
  <si>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응답시간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이내</t>
    </r>
  </si>
  <si>
    <r>
      <rPr>
        <sz val="10"/>
        <rFont val="Noto Sans CJK SC"/>
        <family val="2"/>
      </rPr>
      <t xml:space="preserve">비기능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</si>
  <si>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데스크톱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모바일 뷰포트 호환</t>
    </r>
  </si>
  <si>
    <r>
      <rPr>
        <sz val="10"/>
        <rFont val="Noto Sans CJK SC"/>
        <family val="2"/>
      </rPr>
      <t xml:space="preserve">비기능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호환성</t>
    </r>
    <r>
      <rPr>
        <sz val="10"/>
        <rFont val="Arial"/>
        <family val="0"/>
        <charset val="1"/>
      </rPr>
      <t xml:space="preserve">)</t>
    </r>
  </si>
  <si>
    <t xml:space="preserve">TC-UI-001~006</t>
  </si>
  <si>
    <t xml:space="preserve">커버리지 요약</t>
  </si>
  <si>
    <t xml:space="preserve">전체 요구사항</t>
  </si>
  <si>
    <t xml:space="preserve">커버된 요구사항</t>
  </si>
  <si>
    <t xml:space="preserve">요구사항 커버리지</t>
  </si>
  <si>
    <r>
      <rPr>
        <sz val="10"/>
        <rFont val="Arial"/>
        <family val="0"/>
        <charset val="1"/>
      </rPr>
      <t xml:space="preserve">Pass </t>
    </r>
    <r>
      <rPr>
        <sz val="10"/>
        <rFont val="Noto Sans CJK SC"/>
        <family val="2"/>
      </rPr>
      <t xml:space="preserve">건수</t>
    </r>
  </si>
  <si>
    <r>
      <rPr>
        <sz val="10"/>
        <rFont val="Arial"/>
        <family val="0"/>
        <charset val="1"/>
      </rPr>
      <t xml:space="preserve">Pass </t>
    </r>
    <r>
      <rPr>
        <sz val="10"/>
        <rFont val="Noto Sans CJK SC"/>
        <family val="2"/>
      </rPr>
      <t xml:space="preserve">비율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</si>
</sst>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597"/>
      <name val="Noto Sans CJK SC"/>
      <family val="2"/>
    </font>
    <font>
      <b val="true"/>
      <sz val="14"/>
      <color rgb="FF2F5597"/>
      <name val="Arial"/>
      <family val="0"/>
      <charset val="1"/>
    </font>
    <font>
      <sz val="9"/>
      <color rgb="FF808080"/>
      <name val="Noto Sans CJK SC"/>
      <family val="2"/>
    </font>
    <font>
      <sz val="9"/>
      <color rgb="FF80808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006100"/>
      <name val="Arial"/>
      <family val="0"/>
      <charset val="1"/>
    </font>
    <font>
      <b val="true"/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C6EFCE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9"/>
    <col collapsed="false" customWidth="true" hidden="false" outlineLevel="0" max="7" min="7" style="0" width="1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9.85" hidden="false" customHeight="fals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6" t="s">
        <v>13</v>
      </c>
      <c r="F5" s="5" t="s">
        <v>14</v>
      </c>
      <c r="G5" s="5" t="s">
        <v>15</v>
      </c>
    </row>
    <row r="6" customFormat="false" ht="29.85" hidden="false" customHeight="false" outlineLevel="0" collapsed="false">
      <c r="A6" s="4" t="s">
        <v>16</v>
      </c>
      <c r="B6" s="5" t="s">
        <v>10</v>
      </c>
      <c r="C6" s="5" t="s">
        <v>17</v>
      </c>
      <c r="D6" s="4" t="s">
        <v>18</v>
      </c>
      <c r="E6" s="6" t="s">
        <v>13</v>
      </c>
      <c r="F6" s="5" t="s">
        <v>14</v>
      </c>
      <c r="G6" s="5" t="s">
        <v>19</v>
      </c>
    </row>
    <row r="7" customFormat="false" ht="15" hidden="false" customHeight="false" outlineLevel="0" collapsed="false">
      <c r="A7" s="4" t="s">
        <v>20</v>
      </c>
      <c r="B7" s="5" t="s">
        <v>10</v>
      </c>
      <c r="C7" s="5" t="s">
        <v>21</v>
      </c>
      <c r="D7" s="5" t="s">
        <v>22</v>
      </c>
      <c r="E7" s="7" t="s">
        <v>23</v>
      </c>
      <c r="F7" s="5" t="s">
        <v>14</v>
      </c>
      <c r="G7" s="5" t="s">
        <v>15</v>
      </c>
    </row>
    <row r="8" customFormat="false" ht="15" hidden="false" customHeight="false" outlineLevel="0" collapsed="false">
      <c r="A8" s="4" t="s">
        <v>24</v>
      </c>
      <c r="B8" s="4" t="s">
        <v>25</v>
      </c>
      <c r="C8" s="5" t="s">
        <v>26</v>
      </c>
      <c r="D8" s="4" t="s">
        <v>27</v>
      </c>
      <c r="E8" s="6" t="s">
        <v>13</v>
      </c>
      <c r="F8" s="5" t="s">
        <v>14</v>
      </c>
      <c r="G8" s="5" t="s">
        <v>15</v>
      </c>
    </row>
    <row r="9" customFormat="false" ht="15" hidden="false" customHeight="false" outlineLevel="0" collapsed="false">
      <c r="A9" s="4" t="s">
        <v>28</v>
      </c>
      <c r="B9" s="4" t="s">
        <v>25</v>
      </c>
      <c r="C9" s="5" t="s">
        <v>29</v>
      </c>
      <c r="D9" s="5" t="s">
        <v>30</v>
      </c>
      <c r="E9" s="7" t="s">
        <v>23</v>
      </c>
      <c r="F9" s="5" t="s">
        <v>14</v>
      </c>
      <c r="G9" s="5" t="s">
        <v>31</v>
      </c>
    </row>
    <row r="10" customFormat="false" ht="15" hidden="false" customHeight="false" outlineLevel="0" collapsed="false">
      <c r="A10" s="4" t="s">
        <v>32</v>
      </c>
      <c r="B10" s="4" t="s">
        <v>33</v>
      </c>
      <c r="C10" s="5" t="s">
        <v>34</v>
      </c>
      <c r="D10" s="4" t="s">
        <v>35</v>
      </c>
      <c r="E10" s="6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4" t="s">
        <v>36</v>
      </c>
      <c r="B11" s="4" t="s">
        <v>37</v>
      </c>
      <c r="C11" s="5" t="s">
        <v>38</v>
      </c>
      <c r="D11" s="4" t="s">
        <v>39</v>
      </c>
      <c r="E11" s="7" t="s">
        <v>23</v>
      </c>
      <c r="F11" s="5" t="s">
        <v>14</v>
      </c>
      <c r="G11" s="5" t="s">
        <v>15</v>
      </c>
    </row>
    <row r="12" customFormat="false" ht="15" hidden="false" customHeight="false" outlineLevel="0" collapsed="false">
      <c r="A12" s="4" t="s">
        <v>40</v>
      </c>
      <c r="B12" s="5" t="s">
        <v>41</v>
      </c>
      <c r="C12" s="5" t="s">
        <v>42</v>
      </c>
      <c r="D12" s="4" t="s">
        <v>43</v>
      </c>
      <c r="E12" s="6" t="s">
        <v>13</v>
      </c>
      <c r="F12" s="5" t="s">
        <v>14</v>
      </c>
      <c r="G12" s="5" t="s">
        <v>15</v>
      </c>
    </row>
    <row r="13" customFormat="false" ht="15" hidden="false" customHeight="false" outlineLevel="0" collapsed="false">
      <c r="A13" s="4" t="s">
        <v>44</v>
      </c>
      <c r="B13" s="5" t="s">
        <v>41</v>
      </c>
      <c r="C13" s="5" t="s">
        <v>45</v>
      </c>
      <c r="D13" s="4" t="s">
        <v>46</v>
      </c>
      <c r="E13" s="8" t="s">
        <v>47</v>
      </c>
      <c r="F13" s="5" t="s">
        <v>14</v>
      </c>
      <c r="G13" s="5" t="s">
        <v>48</v>
      </c>
    </row>
    <row r="14" customFormat="false" ht="15" hidden="false" customHeight="false" outlineLevel="0" collapsed="false">
      <c r="A14" s="4" t="s">
        <v>49</v>
      </c>
      <c r="B14" s="5" t="s">
        <v>50</v>
      </c>
      <c r="C14" s="5" t="s">
        <v>51</v>
      </c>
      <c r="D14" s="5" t="s">
        <v>52</v>
      </c>
      <c r="E14" s="7" t="s">
        <v>23</v>
      </c>
      <c r="F14" s="5" t="s">
        <v>14</v>
      </c>
      <c r="G14" s="5" t="s">
        <v>15</v>
      </c>
    </row>
    <row r="15" customFormat="false" ht="15" hidden="false" customHeight="false" outlineLevel="0" collapsed="false">
      <c r="A15" s="4" t="s">
        <v>53</v>
      </c>
      <c r="B15" s="5" t="s">
        <v>50</v>
      </c>
      <c r="C15" s="5" t="s">
        <v>54</v>
      </c>
      <c r="D15" s="4" t="s">
        <v>55</v>
      </c>
      <c r="E15" s="7" t="s">
        <v>23</v>
      </c>
      <c r="F15" s="5" t="s">
        <v>14</v>
      </c>
      <c r="G15" s="5" t="s">
        <v>15</v>
      </c>
    </row>
    <row r="16" customFormat="false" ht="15" hidden="false" customHeight="false" outlineLevel="0" collapsed="false">
      <c r="A16" s="4" t="s">
        <v>56</v>
      </c>
      <c r="B16" s="5" t="s">
        <v>57</v>
      </c>
      <c r="C16" s="5" t="s">
        <v>58</v>
      </c>
      <c r="D16" s="4" t="s">
        <v>59</v>
      </c>
      <c r="E16" s="7" t="s">
        <v>23</v>
      </c>
      <c r="F16" s="5" t="s">
        <v>14</v>
      </c>
      <c r="G16" s="5" t="s">
        <v>15</v>
      </c>
    </row>
    <row r="17" customFormat="false" ht="29.85" hidden="false" customHeight="false" outlineLevel="0" collapsed="false">
      <c r="A17" s="4" t="s">
        <v>60</v>
      </c>
      <c r="B17" s="5" t="s">
        <v>61</v>
      </c>
      <c r="C17" s="5" t="s">
        <v>62</v>
      </c>
      <c r="D17" s="5" t="s">
        <v>63</v>
      </c>
      <c r="E17" s="6" t="s">
        <v>13</v>
      </c>
      <c r="F17" s="5" t="s">
        <v>14</v>
      </c>
      <c r="G17" s="5" t="s">
        <v>15</v>
      </c>
    </row>
    <row r="18" customFormat="false" ht="23.85" hidden="false" customHeight="false" outlineLevel="0" collapsed="false">
      <c r="A18" s="4" t="s">
        <v>64</v>
      </c>
      <c r="B18" s="5" t="s">
        <v>61</v>
      </c>
      <c r="C18" s="5" t="s">
        <v>65</v>
      </c>
      <c r="D18" s="5" t="s">
        <v>66</v>
      </c>
      <c r="E18" s="7" t="s">
        <v>23</v>
      </c>
      <c r="F18" s="5" t="s">
        <v>14</v>
      </c>
      <c r="G18" s="5" t="s">
        <v>48</v>
      </c>
    </row>
    <row r="19" customFormat="false" ht="23.85" hidden="false" customHeight="false" outlineLevel="0" collapsed="false">
      <c r="A19" s="4" t="s">
        <v>67</v>
      </c>
      <c r="B19" s="5" t="s">
        <v>61</v>
      </c>
      <c r="C19" s="5" t="s">
        <v>68</v>
      </c>
      <c r="D19" s="4" t="s">
        <v>69</v>
      </c>
      <c r="E19" s="7" t="s">
        <v>23</v>
      </c>
      <c r="F19" s="5" t="s">
        <v>14</v>
      </c>
      <c r="G19" s="5" t="s">
        <v>48</v>
      </c>
    </row>
    <row r="20" customFormat="false" ht="15" hidden="false" customHeight="false" outlineLevel="0" collapsed="false">
      <c r="A20" s="4" t="s">
        <v>70</v>
      </c>
      <c r="B20" s="5" t="s">
        <v>71</v>
      </c>
      <c r="C20" s="5" t="s">
        <v>72</v>
      </c>
      <c r="D20" s="4" t="s">
        <v>73</v>
      </c>
      <c r="E20" s="7" t="s">
        <v>23</v>
      </c>
      <c r="F20" s="5" t="s">
        <v>74</v>
      </c>
      <c r="G20" s="5" t="s">
        <v>31</v>
      </c>
    </row>
    <row r="21" customFormat="false" ht="15" hidden="false" customHeight="false" outlineLevel="0" collapsed="false">
      <c r="A21" s="4" t="s">
        <v>75</v>
      </c>
      <c r="B21" s="4" t="s">
        <v>76</v>
      </c>
      <c r="C21" s="5" t="s">
        <v>77</v>
      </c>
      <c r="D21" s="5" t="s">
        <v>78</v>
      </c>
      <c r="E21" s="7" t="s">
        <v>23</v>
      </c>
      <c r="F21" s="5" t="s">
        <v>74</v>
      </c>
      <c r="G21" s="5" t="s">
        <v>79</v>
      </c>
    </row>
    <row r="22" customFormat="false" ht="29.85" hidden="false" customHeight="false" outlineLevel="0" collapsed="false">
      <c r="A22" s="4" t="s">
        <v>80</v>
      </c>
      <c r="B22" s="5" t="s">
        <v>81</v>
      </c>
      <c r="C22" s="5" t="s">
        <v>82</v>
      </c>
      <c r="D22" s="4" t="s">
        <v>83</v>
      </c>
      <c r="E22" s="7" t="s">
        <v>23</v>
      </c>
      <c r="F22" s="5" t="s">
        <v>74</v>
      </c>
      <c r="G22" s="5" t="s">
        <v>84</v>
      </c>
    </row>
  </sheetData>
  <autoFilter ref="A4:G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34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20"/>
  </cols>
  <sheetData>
    <row r="1" customFormat="false" ht="21.6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9" t="s">
        <v>87</v>
      </c>
      <c r="B4" s="3" t="s">
        <v>3</v>
      </c>
      <c r="C4" s="9" t="s">
        <v>88</v>
      </c>
      <c r="D4" s="3" t="s">
        <v>89</v>
      </c>
      <c r="E4" s="9" t="s">
        <v>90</v>
      </c>
      <c r="F4" s="3" t="s">
        <v>91</v>
      </c>
      <c r="G4" s="3" t="s">
        <v>92</v>
      </c>
      <c r="H4" s="3" t="s">
        <v>6</v>
      </c>
      <c r="I4" s="3" t="s">
        <v>7</v>
      </c>
      <c r="J4" s="3" t="s">
        <v>8</v>
      </c>
      <c r="K4" s="3" t="s">
        <v>2</v>
      </c>
      <c r="L4" s="3" t="s">
        <v>93</v>
      </c>
    </row>
    <row r="5" customFormat="false" ht="44" hidden="false" customHeight="false" outlineLevel="0" collapsed="false">
      <c r="A5" s="4" t="s">
        <v>94</v>
      </c>
      <c r="B5" s="5" t="s">
        <v>95</v>
      </c>
      <c r="C5" s="5" t="s">
        <v>96</v>
      </c>
      <c r="D5" s="5" t="s">
        <v>97</v>
      </c>
      <c r="E5" s="4" t="s">
        <v>98</v>
      </c>
      <c r="F5" s="5" t="s">
        <v>99</v>
      </c>
      <c r="G5" s="10" t="s">
        <v>100</v>
      </c>
      <c r="H5" s="6" t="s">
        <v>13</v>
      </c>
      <c r="I5" s="5" t="s">
        <v>14</v>
      </c>
      <c r="J5" s="5" t="s">
        <v>15</v>
      </c>
      <c r="K5" s="4" t="s">
        <v>101</v>
      </c>
      <c r="L5" s="4" t="s">
        <v>102</v>
      </c>
    </row>
    <row r="6" customFormat="false" ht="44" hidden="false" customHeight="false" outlineLevel="0" collapsed="false">
      <c r="A6" s="4" t="s">
        <v>103</v>
      </c>
      <c r="B6" s="5" t="s">
        <v>104</v>
      </c>
      <c r="C6" s="5" t="s">
        <v>105</v>
      </c>
      <c r="D6" s="5" t="s">
        <v>97</v>
      </c>
      <c r="E6" s="4" t="s">
        <v>106</v>
      </c>
      <c r="F6" s="4" t="s">
        <v>107</v>
      </c>
      <c r="G6" s="10" t="s">
        <v>100</v>
      </c>
      <c r="H6" s="6" t="s">
        <v>13</v>
      </c>
      <c r="I6" s="5" t="s">
        <v>14</v>
      </c>
      <c r="J6" s="5" t="s">
        <v>19</v>
      </c>
      <c r="K6" s="4" t="s">
        <v>108</v>
      </c>
      <c r="L6" s="4" t="s">
        <v>102</v>
      </c>
    </row>
    <row r="7" customFormat="false" ht="29.85" hidden="false" customHeight="false" outlineLevel="0" collapsed="false">
      <c r="A7" s="4" t="s">
        <v>109</v>
      </c>
      <c r="B7" s="5" t="s">
        <v>110</v>
      </c>
      <c r="C7" s="5" t="s">
        <v>111</v>
      </c>
      <c r="D7" s="5" t="s">
        <v>97</v>
      </c>
      <c r="E7" s="4" t="s">
        <v>112</v>
      </c>
      <c r="F7" s="4" t="s">
        <v>113</v>
      </c>
      <c r="G7" s="10" t="s">
        <v>100</v>
      </c>
      <c r="H7" s="7" t="s">
        <v>23</v>
      </c>
      <c r="I7" s="5" t="s">
        <v>14</v>
      </c>
      <c r="J7" s="5" t="s">
        <v>15</v>
      </c>
      <c r="K7" s="4" t="s">
        <v>114</v>
      </c>
      <c r="L7" s="4" t="s">
        <v>102</v>
      </c>
    </row>
    <row r="8" customFormat="false" ht="44" hidden="false" customHeight="false" outlineLevel="0" collapsed="false">
      <c r="A8" s="4" t="s">
        <v>115</v>
      </c>
      <c r="B8" s="5" t="s">
        <v>116</v>
      </c>
      <c r="C8" s="5" t="s">
        <v>117</v>
      </c>
      <c r="D8" s="5" t="s">
        <v>118</v>
      </c>
      <c r="E8" s="4" t="s">
        <v>119</v>
      </c>
      <c r="F8" s="5" t="s">
        <v>120</v>
      </c>
      <c r="G8" s="10" t="s">
        <v>100</v>
      </c>
      <c r="H8" s="6" t="s">
        <v>13</v>
      </c>
      <c r="I8" s="5" t="s">
        <v>14</v>
      </c>
      <c r="J8" s="5" t="s">
        <v>15</v>
      </c>
      <c r="K8" s="4" t="s">
        <v>121</v>
      </c>
      <c r="L8" s="4" t="s">
        <v>122</v>
      </c>
    </row>
    <row r="9" customFormat="false" ht="29.85" hidden="false" customHeight="false" outlineLevel="0" collapsed="false">
      <c r="A9" s="4" t="s">
        <v>123</v>
      </c>
      <c r="B9" s="5" t="s">
        <v>124</v>
      </c>
      <c r="C9" s="5" t="s">
        <v>125</v>
      </c>
      <c r="D9" s="5" t="s">
        <v>118</v>
      </c>
      <c r="E9" s="4" t="s">
        <v>126</v>
      </c>
      <c r="F9" s="4" t="s">
        <v>127</v>
      </c>
      <c r="G9" s="10" t="s">
        <v>100</v>
      </c>
      <c r="H9" s="7" t="s">
        <v>23</v>
      </c>
      <c r="I9" s="5" t="s">
        <v>14</v>
      </c>
      <c r="J9" s="5" t="s">
        <v>48</v>
      </c>
      <c r="K9" s="4" t="s">
        <v>128</v>
      </c>
      <c r="L9" s="4" t="s">
        <v>122</v>
      </c>
    </row>
    <row r="10" customFormat="false" ht="29.85" hidden="false" customHeight="false" outlineLevel="0" collapsed="false">
      <c r="A10" s="4" t="s">
        <v>129</v>
      </c>
      <c r="B10" s="5" t="s">
        <v>130</v>
      </c>
      <c r="C10" s="5" t="s">
        <v>131</v>
      </c>
      <c r="D10" s="5" t="s">
        <v>118</v>
      </c>
      <c r="E10" s="4" t="s">
        <v>132</v>
      </c>
      <c r="F10" s="5" t="s">
        <v>133</v>
      </c>
      <c r="G10" s="10" t="s">
        <v>100</v>
      </c>
      <c r="H10" s="7" t="s">
        <v>23</v>
      </c>
      <c r="I10" s="5" t="s">
        <v>14</v>
      </c>
      <c r="J10" s="5" t="s">
        <v>48</v>
      </c>
      <c r="K10" s="4" t="s">
        <v>134</v>
      </c>
      <c r="L10" s="4" t="s">
        <v>122</v>
      </c>
    </row>
    <row r="11" customFormat="false" ht="29.85" hidden="false" customHeight="false" outlineLevel="0" collapsed="false">
      <c r="A11" s="4" t="s">
        <v>135</v>
      </c>
      <c r="B11" s="4" t="s">
        <v>25</v>
      </c>
      <c r="C11" s="5" t="s">
        <v>136</v>
      </c>
      <c r="D11" s="4" t="s">
        <v>137</v>
      </c>
      <c r="E11" s="4" t="s">
        <v>138</v>
      </c>
      <c r="F11" s="4" t="s">
        <v>139</v>
      </c>
      <c r="G11" s="10" t="s">
        <v>100</v>
      </c>
      <c r="H11" s="6" t="s">
        <v>13</v>
      </c>
      <c r="I11" s="5" t="s">
        <v>140</v>
      </c>
      <c r="J11" s="5" t="s">
        <v>141</v>
      </c>
      <c r="K11" s="4" t="s">
        <v>142</v>
      </c>
      <c r="L11" s="4" t="s">
        <v>143</v>
      </c>
    </row>
    <row r="12" customFormat="false" ht="15" hidden="false" customHeight="false" outlineLevel="0" collapsed="false">
      <c r="A12" s="4" t="s">
        <v>144</v>
      </c>
      <c r="B12" s="4" t="s">
        <v>25</v>
      </c>
      <c r="C12" s="5" t="s">
        <v>145</v>
      </c>
      <c r="D12" s="4" t="s">
        <v>137</v>
      </c>
      <c r="E12" s="4" t="s">
        <v>146</v>
      </c>
      <c r="F12" s="4" t="s">
        <v>147</v>
      </c>
      <c r="G12" s="10" t="s">
        <v>100</v>
      </c>
      <c r="H12" s="7" t="s">
        <v>23</v>
      </c>
      <c r="I12" s="5" t="s">
        <v>14</v>
      </c>
      <c r="J12" s="5" t="s">
        <v>31</v>
      </c>
      <c r="K12" s="4" t="s">
        <v>28</v>
      </c>
      <c r="L12" s="4" t="s">
        <v>143</v>
      </c>
    </row>
    <row r="13" customFormat="false" ht="15" hidden="false" customHeight="false" outlineLevel="0" collapsed="false">
      <c r="A13" s="4" t="s">
        <v>148</v>
      </c>
      <c r="B13" s="4" t="s">
        <v>33</v>
      </c>
      <c r="C13" s="5" t="s">
        <v>149</v>
      </c>
      <c r="D13" s="4" t="s">
        <v>137</v>
      </c>
      <c r="E13" s="4" t="s">
        <v>150</v>
      </c>
      <c r="F13" s="4" t="s">
        <v>151</v>
      </c>
      <c r="G13" s="10" t="s">
        <v>100</v>
      </c>
      <c r="H13" s="6" t="s">
        <v>13</v>
      </c>
      <c r="I13" s="5" t="s">
        <v>14</v>
      </c>
      <c r="J13" s="5" t="s">
        <v>15</v>
      </c>
      <c r="K13" s="4" t="s">
        <v>32</v>
      </c>
      <c r="L13" s="4" t="s">
        <v>143</v>
      </c>
    </row>
    <row r="14" customFormat="false" ht="29.85" hidden="false" customHeight="false" outlineLevel="0" collapsed="false">
      <c r="A14" s="4" t="s">
        <v>152</v>
      </c>
      <c r="B14" s="4" t="s">
        <v>37</v>
      </c>
      <c r="C14" s="5" t="s">
        <v>153</v>
      </c>
      <c r="D14" s="4" t="s">
        <v>137</v>
      </c>
      <c r="E14" s="4" t="s">
        <v>154</v>
      </c>
      <c r="F14" s="4" t="s">
        <v>155</v>
      </c>
      <c r="G14" s="10" t="s">
        <v>100</v>
      </c>
      <c r="H14" s="7" t="s">
        <v>23</v>
      </c>
      <c r="I14" s="5" t="s">
        <v>14</v>
      </c>
      <c r="J14" s="5" t="s">
        <v>15</v>
      </c>
      <c r="K14" s="4" t="s">
        <v>36</v>
      </c>
      <c r="L14" s="4" t="s">
        <v>156</v>
      </c>
    </row>
    <row r="15" customFormat="false" ht="29.85" hidden="false" customHeight="false" outlineLevel="0" collapsed="false">
      <c r="A15" s="4" t="s">
        <v>157</v>
      </c>
      <c r="B15" s="5" t="s">
        <v>158</v>
      </c>
      <c r="C15" s="5" t="s">
        <v>159</v>
      </c>
      <c r="D15" s="5" t="s">
        <v>160</v>
      </c>
      <c r="E15" s="4" t="s">
        <v>161</v>
      </c>
      <c r="F15" s="4" t="s">
        <v>162</v>
      </c>
      <c r="G15" s="10" t="s">
        <v>100</v>
      </c>
      <c r="H15" s="6" t="s">
        <v>13</v>
      </c>
      <c r="I15" s="5" t="s">
        <v>14</v>
      </c>
      <c r="J15" s="5" t="s">
        <v>15</v>
      </c>
      <c r="K15" s="4" t="s">
        <v>40</v>
      </c>
      <c r="L15" s="4" t="s">
        <v>163</v>
      </c>
    </row>
    <row r="16" customFormat="false" ht="29.85" hidden="false" customHeight="false" outlineLevel="0" collapsed="false">
      <c r="A16" s="4" t="s">
        <v>164</v>
      </c>
      <c r="B16" s="5" t="s">
        <v>165</v>
      </c>
      <c r="C16" s="5" t="s">
        <v>166</v>
      </c>
      <c r="D16" s="5" t="s">
        <v>160</v>
      </c>
      <c r="E16" s="4" t="s">
        <v>167</v>
      </c>
      <c r="F16" s="4" t="s">
        <v>168</v>
      </c>
      <c r="G16" s="10" t="s">
        <v>100</v>
      </c>
      <c r="H16" s="7" t="s">
        <v>23</v>
      </c>
      <c r="I16" s="5" t="s">
        <v>74</v>
      </c>
      <c r="J16" s="5" t="s">
        <v>31</v>
      </c>
      <c r="K16" s="4" t="s">
        <v>70</v>
      </c>
      <c r="L16" s="4" t="s">
        <v>163</v>
      </c>
    </row>
    <row r="17" customFormat="false" ht="29.85" hidden="false" customHeight="false" outlineLevel="0" collapsed="false">
      <c r="A17" s="4" t="s">
        <v>169</v>
      </c>
      <c r="B17" s="5" t="s">
        <v>170</v>
      </c>
      <c r="C17" s="5" t="s">
        <v>171</v>
      </c>
      <c r="D17" s="5" t="s">
        <v>160</v>
      </c>
      <c r="E17" s="4" t="s">
        <v>172</v>
      </c>
      <c r="F17" s="4" t="s">
        <v>173</v>
      </c>
      <c r="G17" s="10" t="s">
        <v>100</v>
      </c>
      <c r="H17" s="7" t="s">
        <v>23</v>
      </c>
      <c r="I17" s="5" t="s">
        <v>14</v>
      </c>
      <c r="J17" s="5" t="s">
        <v>15</v>
      </c>
      <c r="K17" s="4" t="s">
        <v>49</v>
      </c>
      <c r="L17" s="4" t="s">
        <v>163</v>
      </c>
    </row>
    <row r="18" customFormat="false" ht="29.85" hidden="false" customHeight="false" outlineLevel="0" collapsed="false">
      <c r="A18" s="4" t="s">
        <v>174</v>
      </c>
      <c r="B18" s="5" t="s">
        <v>175</v>
      </c>
      <c r="C18" s="5" t="s">
        <v>176</v>
      </c>
      <c r="D18" s="5" t="s">
        <v>160</v>
      </c>
      <c r="E18" s="4" t="s">
        <v>177</v>
      </c>
      <c r="F18" s="4" t="s">
        <v>178</v>
      </c>
      <c r="G18" s="10" t="s">
        <v>100</v>
      </c>
      <c r="H18" s="7" t="s">
        <v>23</v>
      </c>
      <c r="I18" s="5" t="s">
        <v>14</v>
      </c>
      <c r="J18" s="5" t="s">
        <v>15</v>
      </c>
      <c r="K18" s="4" t="s">
        <v>53</v>
      </c>
      <c r="L18" s="4" t="s">
        <v>163</v>
      </c>
    </row>
    <row r="19" customFormat="false" ht="29.85" hidden="false" customHeight="false" outlineLevel="0" collapsed="false">
      <c r="A19" s="4" t="s">
        <v>179</v>
      </c>
      <c r="B19" s="5" t="s">
        <v>180</v>
      </c>
      <c r="C19" s="5" t="s">
        <v>181</v>
      </c>
      <c r="D19" s="5" t="s">
        <v>160</v>
      </c>
      <c r="E19" s="4" t="s">
        <v>182</v>
      </c>
      <c r="F19" s="4" t="s">
        <v>59</v>
      </c>
      <c r="G19" s="10" t="s">
        <v>100</v>
      </c>
      <c r="H19" s="7" t="s">
        <v>23</v>
      </c>
      <c r="I19" s="5" t="s">
        <v>14</v>
      </c>
      <c r="J19" s="5" t="s">
        <v>15</v>
      </c>
      <c r="K19" s="4" t="s">
        <v>56</v>
      </c>
      <c r="L19" s="4" t="s">
        <v>163</v>
      </c>
    </row>
    <row r="20" customFormat="false" ht="29.85" hidden="false" customHeight="false" outlineLevel="0" collapsed="false">
      <c r="A20" s="4" t="s">
        <v>183</v>
      </c>
      <c r="B20" s="5" t="s">
        <v>184</v>
      </c>
      <c r="C20" s="5" t="s">
        <v>185</v>
      </c>
      <c r="D20" s="5" t="s">
        <v>160</v>
      </c>
      <c r="E20" s="4" t="s">
        <v>186</v>
      </c>
      <c r="F20" s="4" t="s">
        <v>187</v>
      </c>
      <c r="G20" s="10" t="s">
        <v>100</v>
      </c>
      <c r="H20" s="8" t="s">
        <v>47</v>
      </c>
      <c r="I20" s="5" t="s">
        <v>14</v>
      </c>
      <c r="J20" s="5" t="s">
        <v>48</v>
      </c>
      <c r="K20" s="4" t="s">
        <v>44</v>
      </c>
      <c r="L20" s="4" t="s">
        <v>163</v>
      </c>
    </row>
  </sheetData>
  <autoFilter ref="A4:L20"/>
  <dataValidations count="1">
    <dataValidation allowBlank="true" errorStyle="stop" operator="between" showDropDown="false" showErrorMessage="false" showInputMessage="false" sqref="G5:G20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21.6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7</v>
      </c>
      <c r="D4" s="3" t="s">
        <v>190</v>
      </c>
      <c r="E4" s="3" t="s">
        <v>191</v>
      </c>
      <c r="F4" s="3" t="s">
        <v>92</v>
      </c>
    </row>
    <row r="5" customFormat="false" ht="15" hidden="false" customHeight="false" outlineLevel="0" collapsed="false">
      <c r="A5" s="4" t="s">
        <v>9</v>
      </c>
      <c r="B5" s="5" t="s">
        <v>192</v>
      </c>
      <c r="C5" s="5" t="s">
        <v>14</v>
      </c>
      <c r="D5" s="4" t="s">
        <v>94</v>
      </c>
      <c r="E5" s="4" t="s">
        <v>193</v>
      </c>
      <c r="F5" s="10" t="s">
        <v>100</v>
      </c>
    </row>
    <row r="6" customFormat="false" ht="15" hidden="false" customHeight="false" outlineLevel="0" collapsed="false">
      <c r="A6" s="4" t="s">
        <v>16</v>
      </c>
      <c r="B6" s="5" t="s">
        <v>105</v>
      </c>
      <c r="C6" s="5" t="s">
        <v>14</v>
      </c>
      <c r="D6" s="4" t="s">
        <v>103</v>
      </c>
      <c r="E6" s="4" t="s">
        <v>193</v>
      </c>
      <c r="F6" s="10" t="s">
        <v>100</v>
      </c>
    </row>
    <row r="7" customFormat="false" ht="15" hidden="false" customHeight="false" outlineLevel="0" collapsed="false">
      <c r="A7" s="4" t="s">
        <v>20</v>
      </c>
      <c r="B7" s="5" t="s">
        <v>194</v>
      </c>
      <c r="C7" s="5" t="s">
        <v>14</v>
      </c>
      <c r="D7" s="4" t="s">
        <v>109</v>
      </c>
      <c r="E7" s="4" t="s">
        <v>193</v>
      </c>
      <c r="F7" s="10" t="s">
        <v>100</v>
      </c>
    </row>
    <row r="8" customFormat="false" ht="15" hidden="false" customHeight="false" outlineLevel="0" collapsed="false">
      <c r="A8" s="4" t="s">
        <v>24</v>
      </c>
      <c r="B8" s="5" t="s">
        <v>136</v>
      </c>
      <c r="C8" s="5" t="s">
        <v>14</v>
      </c>
      <c r="D8" s="4" t="s">
        <v>135</v>
      </c>
      <c r="E8" s="4" t="s">
        <v>193</v>
      </c>
      <c r="F8" s="10" t="s">
        <v>100</v>
      </c>
    </row>
    <row r="9" customFormat="false" ht="15" hidden="false" customHeight="false" outlineLevel="0" collapsed="false">
      <c r="A9" s="4" t="s">
        <v>28</v>
      </c>
      <c r="B9" s="5" t="s">
        <v>195</v>
      </c>
      <c r="C9" s="5" t="s">
        <v>14</v>
      </c>
      <c r="D9" s="4" t="s">
        <v>144</v>
      </c>
      <c r="E9" s="4" t="s">
        <v>193</v>
      </c>
      <c r="F9" s="10" t="s">
        <v>100</v>
      </c>
    </row>
    <row r="10" customFormat="false" ht="15" hidden="false" customHeight="false" outlineLevel="0" collapsed="false">
      <c r="A10" s="4" t="s">
        <v>32</v>
      </c>
      <c r="B10" s="5" t="s">
        <v>149</v>
      </c>
      <c r="C10" s="5" t="s">
        <v>14</v>
      </c>
      <c r="D10" s="4" t="s">
        <v>148</v>
      </c>
      <c r="E10" s="4" t="s">
        <v>193</v>
      </c>
      <c r="F10" s="10" t="s">
        <v>100</v>
      </c>
    </row>
    <row r="11" customFormat="false" ht="15" hidden="false" customHeight="false" outlineLevel="0" collapsed="false">
      <c r="A11" s="4" t="s">
        <v>36</v>
      </c>
      <c r="B11" s="5" t="s">
        <v>196</v>
      </c>
      <c r="C11" s="5" t="s">
        <v>14</v>
      </c>
      <c r="D11" s="4" t="s">
        <v>152</v>
      </c>
      <c r="E11" s="4" t="s">
        <v>193</v>
      </c>
      <c r="F11" s="10" t="s">
        <v>100</v>
      </c>
    </row>
    <row r="12" customFormat="false" ht="15" hidden="false" customHeight="false" outlineLevel="0" collapsed="false">
      <c r="A12" s="4" t="s">
        <v>40</v>
      </c>
      <c r="B12" s="5" t="s">
        <v>197</v>
      </c>
      <c r="C12" s="5" t="s">
        <v>14</v>
      </c>
      <c r="D12" s="4" t="s">
        <v>157</v>
      </c>
      <c r="E12" s="4" t="s">
        <v>193</v>
      </c>
      <c r="F12" s="10" t="s">
        <v>100</v>
      </c>
    </row>
    <row r="13" customFormat="false" ht="15" hidden="false" customHeight="false" outlineLevel="0" collapsed="false">
      <c r="A13" s="4" t="s">
        <v>44</v>
      </c>
      <c r="B13" s="5" t="s">
        <v>198</v>
      </c>
      <c r="C13" s="5" t="s">
        <v>199</v>
      </c>
      <c r="D13" s="4" t="s">
        <v>183</v>
      </c>
      <c r="E13" s="4" t="s">
        <v>193</v>
      </c>
      <c r="F13" s="10" t="s">
        <v>100</v>
      </c>
    </row>
    <row r="14" customFormat="false" ht="15" hidden="false" customHeight="false" outlineLevel="0" collapsed="false">
      <c r="A14" s="4" t="s">
        <v>49</v>
      </c>
      <c r="B14" s="5" t="s">
        <v>171</v>
      </c>
      <c r="C14" s="5" t="s">
        <v>14</v>
      </c>
      <c r="D14" s="4" t="s">
        <v>169</v>
      </c>
      <c r="E14" s="4" t="s">
        <v>193</v>
      </c>
      <c r="F14" s="10" t="s">
        <v>100</v>
      </c>
    </row>
    <row r="15" customFormat="false" ht="15" hidden="false" customHeight="false" outlineLevel="0" collapsed="false">
      <c r="A15" s="4" t="s">
        <v>53</v>
      </c>
      <c r="B15" s="5" t="s">
        <v>176</v>
      </c>
      <c r="C15" s="5" t="s">
        <v>14</v>
      </c>
      <c r="D15" s="4" t="s">
        <v>174</v>
      </c>
      <c r="E15" s="4" t="s">
        <v>193</v>
      </c>
      <c r="F15" s="10" t="s">
        <v>100</v>
      </c>
    </row>
    <row r="16" customFormat="false" ht="15" hidden="false" customHeight="false" outlineLevel="0" collapsed="false">
      <c r="A16" s="4" t="s">
        <v>56</v>
      </c>
      <c r="B16" s="5" t="s">
        <v>181</v>
      </c>
      <c r="C16" s="5" t="s">
        <v>14</v>
      </c>
      <c r="D16" s="4" t="s">
        <v>179</v>
      </c>
      <c r="E16" s="4" t="s">
        <v>193</v>
      </c>
      <c r="F16" s="10" t="s">
        <v>100</v>
      </c>
    </row>
    <row r="17" customFormat="false" ht="23.85" hidden="false" customHeight="false" outlineLevel="0" collapsed="false">
      <c r="A17" s="4" t="s">
        <v>60</v>
      </c>
      <c r="B17" s="5" t="s">
        <v>117</v>
      </c>
      <c r="C17" s="5" t="s">
        <v>14</v>
      </c>
      <c r="D17" s="4" t="s">
        <v>115</v>
      </c>
      <c r="E17" s="4" t="s">
        <v>193</v>
      </c>
      <c r="F17" s="10" t="s">
        <v>100</v>
      </c>
    </row>
    <row r="18" customFormat="false" ht="23.85" hidden="false" customHeight="false" outlineLevel="0" collapsed="false">
      <c r="A18" s="4" t="s">
        <v>64</v>
      </c>
      <c r="B18" s="5" t="s">
        <v>125</v>
      </c>
      <c r="C18" s="5" t="s">
        <v>199</v>
      </c>
      <c r="D18" s="4" t="s">
        <v>123</v>
      </c>
      <c r="E18" s="4" t="s">
        <v>193</v>
      </c>
      <c r="F18" s="10" t="s">
        <v>100</v>
      </c>
    </row>
    <row r="19" customFormat="false" ht="23.85" hidden="false" customHeight="false" outlineLevel="0" collapsed="false">
      <c r="A19" s="4" t="s">
        <v>67</v>
      </c>
      <c r="B19" s="5" t="s">
        <v>131</v>
      </c>
      <c r="C19" s="5" t="s">
        <v>199</v>
      </c>
      <c r="D19" s="4" t="s">
        <v>129</v>
      </c>
      <c r="E19" s="4" t="s">
        <v>193</v>
      </c>
      <c r="F19" s="10" t="s">
        <v>100</v>
      </c>
    </row>
    <row r="20" customFormat="false" ht="15" hidden="false" customHeight="false" outlineLevel="0" collapsed="false">
      <c r="A20" s="4" t="s">
        <v>70</v>
      </c>
      <c r="B20" s="5" t="s">
        <v>200</v>
      </c>
      <c r="C20" s="5" t="s">
        <v>201</v>
      </c>
      <c r="D20" s="4" t="s">
        <v>164</v>
      </c>
      <c r="E20" s="4" t="s">
        <v>193</v>
      </c>
      <c r="F20" s="10" t="s">
        <v>100</v>
      </c>
    </row>
    <row r="21" customFormat="false" ht="15" hidden="false" customHeight="false" outlineLevel="0" collapsed="false">
      <c r="A21" s="4" t="s">
        <v>75</v>
      </c>
      <c r="B21" s="4" t="s">
        <v>202</v>
      </c>
      <c r="C21" s="5" t="s">
        <v>203</v>
      </c>
      <c r="D21" s="4" t="s">
        <v>135</v>
      </c>
      <c r="E21" s="4" t="s">
        <v>193</v>
      </c>
      <c r="F21" s="10" t="s">
        <v>100</v>
      </c>
    </row>
    <row r="22" customFormat="false" ht="15" hidden="false" customHeight="false" outlineLevel="0" collapsed="false">
      <c r="A22" s="4" t="s">
        <v>80</v>
      </c>
      <c r="B22" s="5" t="s">
        <v>204</v>
      </c>
      <c r="C22" s="5" t="s">
        <v>205</v>
      </c>
      <c r="D22" s="4" t="s">
        <v>206</v>
      </c>
      <c r="E22" s="4" t="s">
        <v>193</v>
      </c>
      <c r="F22" s="10" t="s">
        <v>100</v>
      </c>
    </row>
    <row r="24" customFormat="false" ht="15" hidden="false" customHeight="false" outlineLevel="0" collapsed="false">
      <c r="A24" s="11" t="s">
        <v>207</v>
      </c>
    </row>
    <row r="25" customFormat="false" ht="15" hidden="false" customHeight="false" outlineLevel="0" collapsed="false">
      <c r="A25" s="12" t="s">
        <v>208</v>
      </c>
      <c r="B25" s="12" t="n">
        <f aca="false">COUNTA(A5:A22)</f>
        <v>18</v>
      </c>
    </row>
    <row r="26" customFormat="false" ht="15" hidden="false" customHeight="false" outlineLevel="0" collapsed="false">
      <c r="A26" s="12" t="s">
        <v>209</v>
      </c>
      <c r="B26" s="12" t="n">
        <f aca="false">COUNTIF(E5:E22,"Y")</f>
        <v>18</v>
      </c>
    </row>
    <row r="27" customFormat="false" ht="15" hidden="false" customHeight="false" outlineLevel="0" collapsed="false">
      <c r="A27" s="12" t="s">
        <v>210</v>
      </c>
      <c r="B27" s="13" t="n">
        <f aca="false">COUNTIF(E5:E22,"Y")/COUNTA(A5:A22)</f>
        <v>1</v>
      </c>
    </row>
    <row r="28" customFormat="false" ht="15" hidden="false" customHeight="false" outlineLevel="0" collapsed="false">
      <c r="A28" s="14" t="s">
        <v>211</v>
      </c>
      <c r="B28" s="14" t="n">
        <f aca="false">COUNTIF(F5:F22,"Pass")</f>
        <v>18</v>
      </c>
    </row>
    <row r="29" customFormat="false" ht="15" hidden="false" customHeight="false" outlineLevel="0" collapsed="false">
      <c r="A29" s="14" t="s">
        <v>212</v>
      </c>
      <c r="B29" s="13" t="n">
        <f aca="false">COUNTIF(F5:F22,"Pass")/COUNTA(F5:F22)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2026-09-18T15:55:54Z</dcterms:created>
  <dc:creator>openpyxl</dc:creator>
  <dc:description/>
  <dc:language>en-US</dc:language>
  <cp:lastModifiedBy/>
  <dcterms:modified xsi:type="dcterms:W3CDTF">2026-09-18T15:55:54Z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